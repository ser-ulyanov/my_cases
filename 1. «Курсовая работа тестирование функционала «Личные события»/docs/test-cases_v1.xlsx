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1cf70658d47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d720c9b570488ab616bf1883e300de.psmdcp" Id="Rd2f11f9042f94f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Учеб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11" i="1"/>
  <x:c r="C16" i="1"/>
  <x:c r="C22" i="1"/>
  <x:c r="C49" i="1"/>
  <x:c r="C55" i="1"/>
  <x:c r="C62" i="1"/>
  <x:c r="C70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<x:sst xmlns:x="http://schemas.openxmlformats.org/spreadsheetml/2006/main">
  <x:si>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</x:si>
  <x:si>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</x:si>
  <x:si>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</x:si>
  <x:si>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</x:si>
  <x:si>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</x:si>
  <x:si>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</x:si>
  <x:si>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</x:si>
  <x:si>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</x:si>
  <x:si>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</x:si>
  <x:si>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</x:si>
  <x:si>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</x:si>
  <x:si>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</x:si>
  <x:si>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</x:si>
  <x:si>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</x:si>
  <x:si>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</x:si>
  <x:si>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</x:si>
  <x:si>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</x:si>
  <x:si>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119</x:t>
  </x:si>
  <x:si>
    <x:t>Учеба -&gt; Курсовая работа</x:t>
  </x:si>
  <x:si>
    <x:t>Нет</x:t>
  </x:si>
  <x:si>
    <x:t/>
  </x:si>
  <x:si>
    <x:t>Средний</x:t>
  </x:si>
  <x:si>
    <x:t>Не готов</x:t>
  </x:si>
  <x:si>
    <x:t>10/6/2025 09:49:46</x:t>
  </x:si>
  <x:si>
    <x:t>Сергей У</x:t>
  </x:si>
  <x:si>
    <x:t>0.16666666666666666h 10m 0s</x:t>
  </x:si>
  <x:si>
    <x:t>Пользователь авторизован в системе</x:t>
  </x:si>
  <x:si>
    <x:t>Система открылась</x:t>
  </x:si>
  <x:si>
    <x:t>Открыт раздел "Расписание"</x:t>
  </x:si>
  <x:si>
    <x:t>Кликнуть на серый лот в расписании</x:t>
  </x:si>
  <x:si>
    <x:t>Откроется окно редактирования события</x:t>
  </x:si>
  <x:si>
    <x:t>В поле "Название" ввести "Тестовая встреча"</x:t>
  </x:si>
  <x:si>
    <x:t>Текст отображается в поле</x:t>
  </x:si>
  <x:si>
    <x:t>В полях даты и времени установить 18.09.2025 17:20-17:40</x:t>
  </x:si>
  <x:si>
    <x:t>Дата и время установлены</x:t>
  </x:si>
  <x:si>
    <x:t>Нажать кнопку "Сохранить"</x:t>
  </x:si>
  <x:si>
    <x:t>Окно закрылось, событие появилось в расписании</x:t>
  </x:si>
  <x:si>
    <x:t>Удалить созданное событие "Тестовая встреча"</x:t>
  </x:si>
  <x:si>
    <x:t>Выйти из системы</x:t>
  </x:si>
  <x:si>
    <x:t>120</x:t>
  </x:si>
  <x:si>
    <x:t>10/6/2025 09:50:50</x:t>
  </x:si>
  <x:si>
    <x:t>Пользователь в авторизован в системе.</x:t>
  </x:si>
  <x:si>
    <x:t>Открыт раздел "Расписание".</x:t>
  </x:si>
  <x:si>
    <x:t>Нажать на событие дня, под названием "Тестовая встреча"</x:t>
  </x:si>
  <x:si>
    <x:t>Откроется окно события.</x:t>
  </x:si>
  <x:si>
    <x:t>Нажать на кнопку удалить.</x:t>
  </x:si>
  <x:si>
    <x:t>Окно закроется. Всплывает окно уведомления “Событие удалено”.</x:t>
  </x:si>
  <x:si>
    <x:t>121</x:t>
  </x:si>
  <x:si>
    <x:t>10/6/2025 10:18:58</x:t>
  </x:si>
  <x:si>
    <x:t>Открыт раздел “Расписание”</x:t>
  </x:si>
  <x:si>
    <x:t>Открыть нужное события дня, к примеру : "Тестовая встреча"</x:t>
  </x:si>
  <x:si>
    <x:t>Откроется окно для выбора функции “редактирование” или “удаления”</x:t>
  </x:si>
  <x:si>
    <x:t>Нажать на кнопку “Редактировать”</x:t>
  </x:si>
  <x:si>
    <x:t>В полях “Дата и время” изменить дату на 06.10.2025 19:00 - 20:00</x:t>
  </x:si>
  <x:si>
    <x:t>Окно редактирования закроется и всплывет уведомления “Событие изменено”</x:t>
  </x:si>
  <x:si>
    <x:t>122</x:t>
  </x:si>
  <x:si>
    <x:t>10/6/2025 11:03:51</x:t>
  </x:si>
  <x:si>
    <x:t>Добавление события кликом на свободный слот.</x:t>
  </x:si>
  <x:si>
    <x:t>Добавление события через кнопку «+».</x:t>
  </x:si>
  <x:si>
    <x:t>Попытка добавить событие без заполненного названия (ожидание: ошибка, сохранение невозможно).</x:t>
  </x:si>
  <x:si>
    <x:t>Добавление события с названием ровно 1 символ (минимальная граница).</x:t>
  </x:si>
  <x:si>
    <x:t>Добавление события с названием ровно 40 символов (максимальная граница).</x:t>
  </x:si>
  <x:si>
    <x:t>Попытка добавить событие с названием более 40 символов (ожидание: ошибка/обрезка).</x:t>
  </x:si>
  <x:si>
    <x:t>Добавление события с пустым описанием (валидный сценарий).</x:t>
  </x:si>
  <x:si>
    <x:t>Добавление события с длинным описанием (например, &gt;10 000 символов) — проверка отсутствия ограничений.</x:t>
  </x:si>
  <x:si>
    <x:t>Вставка в описание текста с маркдаунами (ожидание: корректное отображение форматирования).</x:t>
  </x:si>
  <x:si>
    <x:t>Вставка в описание ссылки (ожидание: отображение в виде кликабельной ссылки).</x:t>
  </x:si>
  <x:si>
    <x:t>Вставка в описание картинки (ожидание: событие не позволяет загрузку изображения).</x:t>
  </x:si>
  <x:si>
    <x:t>Добавление события с указанием будущей даты и времени (валидно).</x:t>
  </x:si>
  <x:si>
    <x:t>Добавление события с датой и временем в прошлом (валидный кейс по требованиям).</x:t>
  </x:si>
  <x:si>
    <x:t>Добавление события с минимальной продолжительностью (25 минут).</x:t>
  </x:si>
  <x:si>
    <x:t>Добавление события с максимальной продолжительностью (9 часов 40 минут).</x:t>
  </x:si>
  <x:si>
    <x:t>Добавление события без выбора цвета (ожидание: серый по умолчанию).</x:t>
  </x:si>
  <x:si>
    <x:t>Добавление события с выбором цвета (например, красный).</x:t>
  </x:si>
  <x:si>
    <x:t>Удаление существующего события через кнопку «Удалить».</x:t>
  </x:si>
  <x:si>
    <x:t>Попытка удалить несохранённое (не созданное) событие (ожидание: кнопка недоступна).</x:t>
  </x:si>
  <x:si>
    <x:t>Редактирование названия (валидные границы: 1 и 40 символов).</x:t>
  </x:si>
  <x:si>
    <x:t>Попытка сохранить пустое название при редактировании (ожидание: ошибка).</x:t>
  </x:si>
  <x:si>
    <x:t>Редактирование описания (пустое → заполненное, длинное, с маркдауном и ссылками).</x:t>
  </x:si>
  <x:si>
    <x:t>Изменение времени события (например, перенос в прошлое/будущее).</x:t>
  </x:si>
  <x:si>
    <x:t>Изменение цвета (ожидание: событие в календаре меняет цвет).</x:t>
  </x:si>
  <x:si>
    <x:t>Создание двух событий на одно и то же время (ожидание: сверху отображается то, которое создано последним).</x:t>
  </x:si>
  <x:si>
    <x:t>Создание события в одно время с уроком (ожидание: урок выше в приоритете отображения).</x:t>
  </x:si>
  <x:si>
    <x:t>123</x:t>
  </x:si>
  <x:si>
    <x:t>10/6/2025 11:32:09</x:t>
  </x:si>
  <x:si>
    <x:t>Создать урок с валидными данными
Ожидаемый результат: Урок отображается в расписании.</x:t>
  </x:si>
  <x:si>
    <x:t>Открыть событие через клик по нему в расписании
Ожидаемый результат: Отображается окно с информацией об уроке.</x:t>
  </x:si>
  <x:si>
    <x:t>Изменить дату и время урока
Ожидаемый результат: Появление сообщения об успешном изменении.</x:t>
  </x:si>
  <x:si>
    <x:t>Удалить событие из расписания
Ожидаемый результат: Появление сообщения об успешном удалении.</x:t>
  </x:si>
  <x:si>
    <x:t>Проверить, что урок и личное событие в расписании визуально различимы
Ожидаемый результат: Урок и событие визуально различимы.</x:t>
  </x:si>
  <x:si>
    <x:t>124</x:t>
  </x:si>
  <x:si>
    <x:t>10/6/2025 11:43:53</x:t>
  </x:si>
  <x:si>
    <x:t>Создать личное событие "Школа А - урок" и выбрать фиолетовый цвет</x:t>
  </x:si>
  <x:si>
    <x:t>Событие создано, цвет сохранен</x:t>
  </x:si>
  <x:si>
    <x:t>Создать личное событие "Школа B - совещание" и выбрать зеленый цвет</x:t>
  </x:si>
  <x:si>
    <x:t>Создать личное событие "Школа C - встреча" и выбрать оранжевый цвет</x:t>
  </x:si>
  <x:si>
    <x:t>Просмотреть расписание с созданными событиями</x:t>
  </x:si>
  <x:si>
    <x:t>События отображаются с выбранными цветами</x:t>
  </x:si>
  <x:si>
    <x:t>125</x:t>
  </x:si>
  <x:si>
    <x:t>10/6/2025 11:47:47</x:t>
  </x:si>
  <x:si>
    <x:t>Текущая дата - октябрь 2025</x:t>
  </x:si>
  <x:si>
    <x:t>Перейти в календаре на Сентябрь 2025гг.</x:t>
  </x:si>
  <x:si>
    <x:t>Открыт Сентябрь 2025гг.</x:t>
  </x:si>
  <x:si>
    <x:t>Создать событие "Урок 15.09" с датой 15.09.2025 14:00-15:00</x:t>
  </x:si>
  <x:si>
    <x:t>Событие создано в расписании за Сентябрь</x:t>
  </x:si>
  <x:si>
    <x:t>Создать событие "Занятие 20.09" с датой 20.09.2025 10:00-11:30</x:t>
  </x:si>
  <x:si>
    <x:t>Вернуться к текущей дате</x:t>
  </x:si>
  <x:si>
    <x:t>Система позволяет создавать и отображать события с датами из предыдущих месяцев</x:t>
  </x:si>
  <x:si>
    <x:t>126</x:t>
  </x:si>
  <x:si>
    <x:t>10/6/2025 11:49:58</x:t>
  </x:si>
  <x:si>
    <x:t>Создать событие "Короткий урок" длительностью 25 минут</x:t>
  </x:si>
  <x:si>
    <x:t>Событие создано с интервалом 25 минут</x:t>
  </x:si>
  <x:si>
    <x:t>Создать событие "Стандартный урок" длительностью 35 минут</x:t>
  </x:si>
  <x:si>
    <x:t>Событие создано с интервалом 35 минут</x:t>
  </x:si>
  <x:si>
    <x:t>Создать событие "Подготовка" длительностью 2 часа 30 минут</x:t>
  </x:si>
  <x:si>
    <x:t>Событие создано с интервалом 2.5 часа</x:t>
  </x:si>
  <x:si>
    <x:t>Создать событие "Интенсив" длительностью 9 часов 40 минут</x:t>
  </x:si>
  <x:si>
    <x:t>Событие создано с интервалом 9 часов 40 минут</x:t>
  </x:si>
  <x:si>
    <x:t>Проверить все ли события отображаются</x:t>
  </x:si>
  <x:si>
    <x:t>Все события созданы с указанной длительностью и корректно отображаются в расписании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</x:si>
</x:sst>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77" totalsRowShown="0">
  <x:autoFilter ref="A1:Q77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7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4.853482" style="2" customWidth="1"/>
    <x:col min="3" max="3" width="50.710625" style="2" customWidth="1"/>
    <x:col min="4" max="4" width="20.139196" style="1" customWidth="1"/>
    <x:col min="5" max="5" width="38.139196" style="1" customWidth="1"/>
    <x:col min="6" max="6" width="50.710625" style="1" customWidth="1"/>
    <x:col min="7" max="7" width="45.710625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0.710625" style="1" customWidth="1"/>
    <x:col min="16" max="16" width="28.567768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HYPERLINK("https://team-anqa.testit.software/projects/1/tests/119", "Smoke-test. Создание личного события")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26</x:v>
      </x:c>
      <x:c r="F3" s="1" t="s">
        <x:v>20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28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29</x:v>
      </x:c>
      <x:c r="G5" s="1" t="s">
        <x:v>20</x:v>
      </x:c>
      <x:c r="H5" s="1" t="s">
        <x:v>30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31</x:v>
      </x:c>
      <x:c r="G6" s="1" t="s">
        <x:v>20</x:v>
      </x:c>
      <x:c r="H6" s="1" t="s">
        <x:v>32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33</x:v>
      </x:c>
      <x:c r="G7" s="1" t="s">
        <x:v>20</x:v>
      </x:c>
      <x:c r="H7" s="1" t="s">
        <x:v>34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35</x:v>
      </x:c>
      <x:c r="G8" s="1" t="s">
        <x:v>20</x:v>
      </x:c>
      <x:c r="H8" s="1" t="s">
        <x:v>36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20</x:v>
      </x:c>
      <x:c r="G9" s="1" t="s">
        <x:v>37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20</x:v>
      </x:c>
      <x:c r="G10" s="1" t="s">
        <x:v>38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39</x:v>
      </x:c>
      <x:c r="B11" s="2" t="s">
        <x:v>18</x:v>
      </x:c>
      <x:c r="C11" s="2">
        <x:f>HYPERLINK("https://team-anqa.testit.software/projects/1/tests/120", "Smoke-test. Удаление личного события")</x:f>
      </x:c>
      <x:c r="D11" s="1" t="s">
        <x:v>19</x:v>
      </x:c>
      <x:c r="E11" s="1" t="s">
        <x:v>20</x:v>
      </x:c>
      <x:c r="F11" s="1" t="s">
        <x:v>20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21</x:v>
      </x:c>
      <x:c r="M11" s="1" t="s">
        <x:v>22</x:v>
      </x:c>
      <x:c r="N11" s="1" t="s">
        <x:v>40</x:v>
      </x:c>
      <x:c r="O11" s="1" t="s">
        <x:v>24</x:v>
      </x:c>
      <x:c r="P11" s="1" t="s">
        <x:v>25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41</x:v>
      </x:c>
      <x:c r="F12" s="1" t="s">
        <x:v>20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42</x:v>
      </x:c>
      <x:c r="F13" s="1" t="s">
        <x:v>20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43</x:v>
      </x:c>
      <x:c r="G14" s="1" t="s">
        <x:v>20</x:v>
      </x:c>
      <x:c r="H14" s="1" t="s">
        <x:v>44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45</x:v>
      </x:c>
      <x:c r="G15" s="1" t="s">
        <x:v>20</x:v>
      </x:c>
      <x:c r="H15" s="1" t="s">
        <x:v>46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47</x:v>
      </x:c>
      <x:c r="B16" s="2" t="s">
        <x:v>18</x:v>
      </x:c>
      <x:c r="C16" s="2">
        <x:f>HYPERLINK("https://team-anqa.testit.software/projects/1/tests/121", "Smoke test. Редактирование личного события")</x:f>
      </x:c>
      <x:c r="D16" s="1" t="s">
        <x:v>19</x:v>
      </x:c>
      <x:c r="E16" s="1" t="s">
        <x:v>20</x:v>
      </x:c>
      <x:c r="F16" s="1" t="s">
        <x:v>20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21</x:v>
      </x:c>
      <x:c r="M16" s="1" t="s">
        <x:v>22</x:v>
      </x:c>
      <x:c r="N16" s="1" t="s">
        <x:v>48</x:v>
      </x:c>
      <x:c r="O16" s="1" t="s">
        <x:v>24</x:v>
      </x:c>
      <x:c r="P16" s="1" t="s">
        <x:v>25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26</x:v>
      </x:c>
      <x:c r="F17" s="1" t="s">
        <x:v>20</x:v>
      </x:c>
      <x:c r="G17" s="1" t="s">
        <x:v>20</x:v>
      </x:c>
      <x:c r="H17" s="1" t="s">
        <x:v>20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49</x:v>
      </x:c>
      <x:c r="F18" s="1" t="s">
        <x:v>20</x:v>
      </x:c>
      <x:c r="G18" s="1" t="s">
        <x:v>20</x:v>
      </x:c>
      <x:c r="H18" s="1" t="s">
        <x:v>20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50</x:v>
      </x:c>
      <x:c r="G19" s="1" t="s">
        <x:v>20</x:v>
      </x:c>
      <x:c r="H19" s="1" t="s">
        <x:v>51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52</x:v>
      </x:c>
      <x:c r="G20" s="1" t="s">
        <x:v>20</x:v>
      </x:c>
      <x:c r="H20" s="1" t="s">
        <x:v>30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53</x:v>
      </x:c>
      <x:c r="G21" s="1" t="s">
        <x:v>20</x:v>
      </x:c>
      <x:c r="H21" s="1" t="s">
        <x:v>54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55</x:v>
      </x:c>
      <x:c r="B22" s="2" t="s">
        <x:v>18</x:v>
      </x:c>
      <x:c r="C22" s="2">
        <x:f>HYPERLINK("https://team-anqa.testit.software/projects/1/tests/122", "Функциональный низкоуровневый чек-лист")</x:f>
      </x:c>
      <x:c r="D22" s="1" t="s">
        <x:v>19</x:v>
      </x:c>
      <x:c r="E22" s="1" t="s">
        <x:v>20</x:v>
      </x:c>
      <x:c r="F22" s="1" t="s">
        <x:v>20</x:v>
      </x:c>
      <x:c r="G22" s="1" t="s">
        <x:v>20</x:v>
      </x:c>
      <x:c r="H22" s="1" t="s">
        <x:v>20</x:v>
      </x:c>
      <x:c r="I22" s="1" t="s">
        <x:v>20</x:v>
      </x:c>
      <x:c r="J22" s="1" t="s">
        <x:v>20</x:v>
      </x:c>
      <x:c r="K22" s="1" t="s">
        <x:v>20</x:v>
      </x:c>
      <x:c r="L22" s="1" t="s">
        <x:v>21</x:v>
      </x:c>
      <x:c r="M22" s="1" t="s">
        <x:v>22</x:v>
      </x:c>
      <x:c r="N22" s="1" t="s">
        <x:v>56</x:v>
      </x:c>
      <x:c r="O22" s="1" t="s">
        <x:v>24</x:v>
      </x:c>
      <x:c r="P22" s="1" t="s">
        <x:v>25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57</x:v>
      </x:c>
      <x:c r="G23" s="1" t="s">
        <x:v>20</x:v>
      </x:c>
      <x:c r="H23" s="1" t="s">
        <x:v>20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58</x:v>
      </x:c>
      <x:c r="G24" s="1" t="s">
        <x:v>20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59</x:v>
      </x:c>
      <x:c r="G25" s="1" t="s">
        <x:v>20</x:v>
      </x:c>
      <x:c r="H25" s="1" t="s">
        <x:v>20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60</x:v>
      </x:c>
      <x:c r="G26" s="1" t="s">
        <x:v>20</x:v>
      </x:c>
      <x:c r="H26" s="1" t="s">
        <x:v>20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61</x:v>
      </x:c>
      <x:c r="G27" s="1" t="s">
        <x:v>20</x:v>
      </x:c>
      <x:c r="H27" s="1" t="s">
        <x:v>20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62</x:v>
      </x:c>
      <x:c r="G28" s="1" t="s">
        <x:v>20</x:v>
      </x:c>
      <x:c r="H28" s="1" t="s">
        <x:v>20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63</x:v>
      </x:c>
      <x:c r="G29" s="1" t="s">
        <x:v>20</x:v>
      </x:c>
      <x:c r="H29" s="1" t="s">
        <x:v>20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64</x:v>
      </x:c>
      <x:c r="G30" s="1" t="s">
        <x:v>20</x:v>
      </x:c>
      <x:c r="H30" s="1" t="s">
        <x:v>20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65</x:v>
      </x:c>
      <x:c r="G31" s="1" t="s">
        <x:v>20</x:v>
      </x:c>
      <x:c r="H31" s="1" t="s">
        <x:v>20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66</x:v>
      </x:c>
      <x:c r="G32" s="1" t="s">
        <x:v>20</x:v>
      </x:c>
      <x:c r="H32" s="1" t="s">
        <x:v>20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67</x:v>
      </x:c>
      <x:c r="G33" s="1" t="s">
        <x:v>20</x:v>
      </x:c>
      <x:c r="H33" s="1" t="s">
        <x:v>20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68</x:v>
      </x:c>
      <x:c r="G34" s="1" t="s">
        <x:v>20</x:v>
      </x:c>
      <x:c r="H34" s="1" t="s">
        <x:v>20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69</x:v>
      </x:c>
      <x:c r="G35" s="1" t="s">
        <x:v>20</x:v>
      </x:c>
      <x:c r="H35" s="1" t="s">
        <x:v>20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70</x:v>
      </x:c>
      <x:c r="G36" s="1" t="s">
        <x:v>20</x:v>
      </x:c>
      <x:c r="H36" s="1" t="s">
        <x:v>20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71</x:v>
      </x:c>
      <x:c r="G37" s="1" t="s">
        <x:v>20</x:v>
      </x:c>
      <x:c r="H37" s="1" t="s">
        <x:v>20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72</x:v>
      </x:c>
      <x:c r="G38" s="1" t="s">
        <x:v>20</x:v>
      </x:c>
      <x:c r="H38" s="1" t="s">
        <x:v>20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73</x:v>
      </x:c>
      <x:c r="G39" s="1" t="s">
        <x:v>20</x:v>
      </x:c>
      <x:c r="H39" s="1" t="s">
        <x:v>20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74</x:v>
      </x:c>
      <x:c r="G40" s="1" t="s">
        <x:v>20</x:v>
      </x:c>
      <x:c r="H40" s="1" t="s">
        <x:v>20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75</x:v>
      </x:c>
      <x:c r="G41" s="1" t="s">
        <x:v>20</x:v>
      </x:c>
      <x:c r="H41" s="1" t="s">
        <x:v>20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76</x:v>
      </x:c>
      <x:c r="G42" s="1" t="s">
        <x:v>20</x:v>
      </x:c>
      <x:c r="H42" s="1" t="s">
        <x:v>20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77</x:v>
      </x:c>
      <x:c r="G43" s="1" t="s">
        <x:v>20</x:v>
      </x:c>
      <x:c r="H43" s="1" t="s">
        <x:v>20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78</x:v>
      </x:c>
      <x:c r="G44" s="1" t="s">
        <x:v>20</x:v>
      </x:c>
      <x:c r="H44" s="1" t="s">
        <x:v>20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79</x:v>
      </x:c>
      <x:c r="G45" s="1" t="s">
        <x:v>20</x:v>
      </x:c>
      <x:c r="H45" s="1" t="s">
        <x:v>20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80</x:v>
      </x:c>
      <x:c r="G46" s="1" t="s">
        <x:v>20</x:v>
      </x:c>
      <x:c r="H46" s="1" t="s">
        <x:v>20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81</x:v>
      </x:c>
      <x:c r="G47" s="1" t="s">
        <x:v>20</x:v>
      </x:c>
      <x:c r="H47" s="1" t="s">
        <x:v>20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82</x:v>
      </x:c>
      <x:c r="G48" s="1" t="s">
        <x:v>20</x:v>
      </x:c>
      <x:c r="H48" s="1" t="s">
        <x:v>20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83</x:v>
      </x:c>
      <x:c r="B49" s="2" t="s">
        <x:v>18</x:v>
      </x:c>
      <x:c r="C49" s="2">
        <x:f>HYPERLINK("https://team-anqa.testit.software/projects/1/tests/123", "Высокоуровневый регрессионный чек-лист")</x:f>
      </x:c>
      <x:c r="D49" s="1" t="s">
        <x:v>19</x:v>
      </x:c>
      <x:c r="E49" s="1" t="s">
        <x:v>20</x:v>
      </x:c>
      <x:c r="F49" s="1" t="s">
        <x:v>20</x:v>
      </x:c>
      <x:c r="G49" s="1" t="s">
        <x:v>20</x:v>
      </x:c>
      <x:c r="H49" s="1" t="s">
        <x:v>20</x:v>
      </x:c>
      <x:c r="I49" s="1" t="s">
        <x:v>20</x:v>
      </x:c>
      <x:c r="J49" s="1" t="s">
        <x:v>20</x:v>
      </x:c>
      <x:c r="K49" s="1" t="s">
        <x:v>20</x:v>
      </x:c>
      <x:c r="L49" s="1" t="s">
        <x:v>21</x:v>
      </x:c>
      <x:c r="M49" s="1" t="s">
        <x:v>22</x:v>
      </x:c>
      <x:c r="N49" s="1" t="s">
        <x:v>84</x:v>
      </x:c>
      <x:c r="O49" s="1" t="s">
        <x:v>24</x:v>
      </x:c>
      <x:c r="P49" s="1" t="s">
        <x:v>25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2" t="s">
        <x:v>85</x:v>
      </x:c>
      <x:c r="G50" s="1" t="s">
        <x:v>20</x:v>
      </x:c>
      <x:c r="H50" s="1" t="s">
        <x:v>20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2" t="s">
        <x:v>86</x:v>
      </x:c>
      <x:c r="G51" s="1" t="s">
        <x:v>20</x:v>
      </x:c>
      <x:c r="H51" s="1" t="s">
        <x:v>20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2" t="s">
        <x:v>87</x:v>
      </x:c>
      <x:c r="G52" s="1" t="s">
        <x:v>20</x:v>
      </x:c>
      <x:c r="H52" s="1" t="s">
        <x:v>20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2" t="s">
        <x:v>88</x:v>
      </x:c>
      <x:c r="G53" s="1" t="s">
        <x:v>20</x:v>
      </x:c>
      <x:c r="H53" s="1" t="s">
        <x:v>20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20</x:v>
      </x:c>
      <x:c r="F54" s="2" t="s">
        <x:v>89</x:v>
      </x:c>
      <x:c r="G54" s="1" t="s">
        <x:v>20</x:v>
      </x:c>
      <x:c r="H54" s="1" t="s">
        <x:v>20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90</x:v>
      </x:c>
      <x:c r="B55" s="2" t="s">
        <x:v>18</x:v>
      </x:c>
      <x:c r="C55" s="2">
        <x:f>HYPERLINK("https://team-anqa.testit.software/projects/1/tests/124", "Приемочный тест-кейс 1: Цветовое кодирование событий")</x:f>
      </x:c>
      <x:c r="D55" s="1" t="s">
        <x:v>19</x:v>
      </x:c>
      <x:c r="E55" s="1" t="s">
        <x:v>20</x:v>
      </x:c>
      <x:c r="F55" s="1" t="s">
        <x:v>20</x:v>
      </x:c>
      <x:c r="G55" s="1" t="s">
        <x:v>20</x:v>
      </x:c>
      <x:c r="H55" s="1" t="s">
        <x:v>20</x:v>
      </x:c>
      <x:c r="I55" s="1" t="s">
        <x:v>20</x:v>
      </x:c>
      <x:c r="J55" s="1" t="s">
        <x:v>20</x:v>
      </x:c>
      <x:c r="K55" s="1" t="s">
        <x:v>20</x:v>
      </x:c>
      <x:c r="L55" s="1" t="s">
        <x:v>21</x:v>
      </x:c>
      <x:c r="M55" s="1" t="s">
        <x:v>22</x:v>
      </x:c>
      <x:c r="N55" s="1" t="s">
        <x:v>91</x:v>
      </x:c>
      <x:c r="O55" s="1" t="s">
        <x:v>24</x:v>
      </x:c>
      <x:c r="P55" s="1" t="s">
        <x:v>25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26</x:v>
      </x:c>
      <x:c r="F56" s="1" t="s">
        <x:v>20</x:v>
      </x:c>
      <x:c r="G56" s="1" t="s">
        <x:v>20</x:v>
      </x:c>
      <x:c r="H56" s="1" t="s">
        <x:v>20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28</x:v>
      </x:c>
      <x:c r="F57" s="1" t="s">
        <x:v>20</x:v>
      </x:c>
      <x:c r="G57" s="1" t="s">
        <x:v>20</x:v>
      </x:c>
      <x:c r="H57" s="1" t="s">
        <x:v>20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20</x:v>
      </x:c>
      <x:c r="F58" s="1" t="s">
        <x:v>92</x:v>
      </x:c>
      <x:c r="G58" s="1" t="s">
        <x:v>20</x:v>
      </x:c>
      <x:c r="H58" s="1" t="s">
        <x:v>93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94</x:v>
      </x:c>
      <x:c r="G59" s="1" t="s">
        <x:v>20</x:v>
      </x:c>
      <x:c r="H59" s="1" t="s">
        <x:v>93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1" t="s">
        <x:v>95</x:v>
      </x:c>
      <x:c r="G60" s="1" t="s">
        <x:v>20</x:v>
      </x:c>
      <x:c r="H60" s="1" t="s">
        <x:v>93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96</x:v>
      </x:c>
      <x:c r="G61" s="1" t="s">
        <x:v>20</x:v>
      </x:c>
      <x:c r="H61" s="1" t="s">
        <x:v>97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98</x:v>
      </x:c>
      <x:c r="B62" s="2" t="s">
        <x:v>18</x:v>
      </x:c>
      <x:c r="C62" s="2">
        <x:f>HYPERLINK("https://team-anqa.testit.software/projects/1/tests/125", "Приемочный тест-кейс 2: Создание событий за предыдущий месяц")</x:f>
      </x:c>
      <x:c r="D62" s="1" t="s">
        <x:v>19</x:v>
      </x:c>
      <x:c r="E62" s="1" t="s">
        <x:v>20</x:v>
      </x:c>
      <x:c r="F62" s="1" t="s">
        <x:v>20</x:v>
      </x:c>
      <x:c r="G62" s="1" t="s">
        <x:v>20</x:v>
      </x:c>
      <x:c r="H62" s="1" t="s">
        <x:v>20</x:v>
      </x:c>
      <x:c r="I62" s="1" t="s">
        <x:v>20</x:v>
      </x:c>
      <x:c r="J62" s="1" t="s">
        <x:v>20</x:v>
      </x:c>
      <x:c r="K62" s="1" t="s">
        <x:v>20</x:v>
      </x:c>
      <x:c r="L62" s="1" t="s">
        <x:v>21</x:v>
      </x:c>
      <x:c r="M62" s="1" t="s">
        <x:v>22</x:v>
      </x:c>
      <x:c r="N62" s="1" t="s">
        <x:v>99</x:v>
      </x:c>
      <x:c r="O62" s="1" t="s">
        <x:v>24</x:v>
      </x:c>
      <x:c r="P62" s="1" t="s">
        <x:v>25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26</x:v>
      </x:c>
      <x:c r="F63" s="1" t="s">
        <x:v>20</x:v>
      </x:c>
      <x:c r="G63" s="1" t="s">
        <x:v>20</x:v>
      </x:c>
      <x:c r="H63" s="1" t="s">
        <x:v>20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28</x:v>
      </x:c>
      <x:c r="F64" s="1" t="s">
        <x:v>20</x:v>
      </x:c>
      <x:c r="G64" s="1" t="s">
        <x:v>20</x:v>
      </x:c>
      <x:c r="H64" s="1" t="s">
        <x:v>20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100</x:v>
      </x:c>
      <x:c r="F65" s="1" t="s">
        <x:v>20</x:v>
      </x:c>
      <x:c r="G65" s="1" t="s">
        <x:v>20</x:v>
      </x:c>
      <x:c r="H65" s="1" t="s">
        <x:v>20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101</x:v>
      </x:c>
      <x:c r="G66" s="1" t="s">
        <x:v>20</x:v>
      </x:c>
      <x:c r="H66" s="1" t="s">
        <x:v>102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103</x:v>
      </x:c>
      <x:c r="G67" s="1" t="s">
        <x:v>20</x:v>
      </x:c>
      <x:c r="H67" s="1" t="s">
        <x:v>104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105</x:v>
      </x:c>
      <x:c r="G68" s="1" t="s">
        <x:v>20</x:v>
      </x:c>
      <x:c r="H68" s="1" t="s">
        <x:v>104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106</x:v>
      </x:c>
      <x:c r="G69" s="1" t="s">
        <x:v>20</x:v>
      </x:c>
      <x:c r="H69" s="1" t="s">
        <x:v>107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108</x:v>
      </x:c>
      <x:c r="B70" s="2" t="s">
        <x:v>18</x:v>
      </x:c>
      <x:c r="C70" s="2">
        <x:f>HYPERLINK("https://team-anqa.testit.software/projects/1/tests/126", "Приемочный тест-кейс 3: Создание событий разной длительности")</x:f>
      </x:c>
      <x:c r="D70" s="1" t="s">
        <x:v>19</x:v>
      </x:c>
      <x:c r="E70" s="1" t="s">
        <x:v>20</x:v>
      </x:c>
      <x:c r="F70" s="1" t="s">
        <x:v>20</x:v>
      </x:c>
      <x:c r="G70" s="1" t="s">
        <x:v>20</x:v>
      </x:c>
      <x:c r="H70" s="1" t="s">
        <x:v>20</x:v>
      </x:c>
      <x:c r="I70" s="1" t="s">
        <x:v>20</x:v>
      </x:c>
      <x:c r="J70" s="1" t="s">
        <x:v>20</x:v>
      </x:c>
      <x:c r="K70" s="1" t="s">
        <x:v>20</x:v>
      </x:c>
      <x:c r="L70" s="1" t="s">
        <x:v>21</x:v>
      </x:c>
      <x:c r="M70" s="1" t="s">
        <x:v>22</x:v>
      </x:c>
      <x:c r="N70" s="1" t="s">
        <x:v>109</x:v>
      </x:c>
      <x:c r="O70" s="1" t="s">
        <x:v>24</x:v>
      </x:c>
      <x:c r="P70" s="1" t="s">
        <x:v>25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26</x:v>
      </x:c>
      <x:c r="F71" s="1" t="s">
        <x:v>20</x:v>
      </x:c>
      <x:c r="G71" s="1" t="s">
        <x:v>20</x:v>
      </x:c>
      <x:c r="H71" s="1" t="s">
        <x:v>20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28</x:v>
      </x:c>
      <x:c r="F72" s="1" t="s">
        <x:v>20</x:v>
      </x:c>
      <x:c r="G72" s="1" t="s">
        <x:v>20</x:v>
      </x:c>
      <x:c r="H72" s="1" t="s">
        <x:v>20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110</x:v>
      </x:c>
      <x:c r="G73" s="1" t="s">
        <x:v>20</x:v>
      </x:c>
      <x:c r="H73" s="1" t="s">
        <x:v>111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112</x:v>
      </x:c>
      <x:c r="G74" s="1" t="s">
        <x:v>20</x:v>
      </x:c>
      <x:c r="H74" s="1" t="s">
        <x:v>113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20</x:v>
      </x:c>
      <x:c r="F75" s="1" t="s">
        <x:v>114</x:v>
      </x:c>
      <x:c r="G75" s="1" t="s">
        <x:v>20</x:v>
      </x:c>
      <x:c r="H75" s="1" t="s">
        <x:v>115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116</x:v>
      </x:c>
      <x:c r="G76" s="1" t="s">
        <x:v>20</x:v>
      </x:c>
      <x:c r="H76" s="1" t="s">
        <x:v>117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118</x:v>
      </x:c>
      <x:c r="G77" s="1" t="s">
        <x:v>20</x:v>
      </x:c>
      <x:c r="H77" s="1" t="s">
        <x:v>119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Project_Учеба</vt:lpstr>
      <vt:lpstr>Project_Учеба!Print_Area</vt:lpstr>
      <vt:lpstr>Project_Учеба!Print_Titles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